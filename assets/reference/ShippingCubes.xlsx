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akelite-my.sharepoint.com/personal/matthew_lakelite_com/Documents/Documents/Claude/outputs/"/>
    </mc:Choice>
  </mc:AlternateContent>
  <xr:revisionPtr revIDLastSave="170" documentId="8_{E18E499E-714F-4756-9942-96790940BA76}" xr6:coauthVersionLast="47" xr6:coauthVersionMax="47" xr10:uidLastSave="{75345768-51E3-4B5C-A0EA-0318C8798CD6}"/>
  <bookViews>
    <workbookView xWindow="-28920" yWindow="-120" windowWidth="29040" windowHeight="15720" xr2:uid="{58BAFD5F-9364-4452-A58F-DE306227D47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D17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" i="1"/>
  <c r="O18" i="1"/>
  <c r="O17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2" i="1"/>
  <c r="F3" i="1"/>
  <c r="F4" i="1"/>
  <c r="F5" i="1"/>
  <c r="F6" i="1"/>
  <c r="F7" i="1"/>
  <c r="F8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" i="1"/>
  <c r="F2" i="1"/>
</calcChain>
</file>

<file path=xl/sharedStrings.xml><?xml version="1.0" encoding="utf-8"?>
<sst xmlns="http://schemas.openxmlformats.org/spreadsheetml/2006/main" count="64" uniqueCount="42">
  <si>
    <t>item</t>
  </si>
  <si>
    <t>case qty</t>
  </si>
  <si>
    <t>single weight</t>
  </si>
  <si>
    <t>single qty</t>
  </si>
  <si>
    <t>case weight</t>
  </si>
  <si>
    <t>piling light</t>
  </si>
  <si>
    <t>pagoda light</t>
  </si>
  <si>
    <t>underglow light</t>
  </si>
  <si>
    <t>marine light</t>
  </si>
  <si>
    <t>barge light</t>
  </si>
  <si>
    <t>beacon light</t>
  </si>
  <si>
    <t>wave dots</t>
  </si>
  <si>
    <t>shoremaster dock caps</t>
  </si>
  <si>
    <t>floe bumper v2</t>
  </si>
  <si>
    <t>floe bumper v3</t>
  </si>
  <si>
    <t>rail light</t>
  </si>
  <si>
    <t>l</t>
  </si>
  <si>
    <t>w</t>
  </si>
  <si>
    <t>d</t>
  </si>
  <si>
    <t>10" aluminum cleat</t>
  </si>
  <si>
    <t>8" nylon cleat</t>
  </si>
  <si>
    <t>dock dots 4-pack</t>
  </si>
  <si>
    <t>single dock dot</t>
  </si>
  <si>
    <t>FLOE dots 4-pack</t>
  </si>
  <si>
    <t>single FLOE dot</t>
  </si>
  <si>
    <t>deck light</t>
  </si>
  <si>
    <t>ez dock light</t>
  </si>
  <si>
    <t>aluminum dock post light</t>
  </si>
  <si>
    <t>dock post light round</t>
  </si>
  <si>
    <t>dock post light square</t>
  </si>
  <si>
    <t>dock post light rectangle</t>
  </si>
  <si>
    <t>pc cube</t>
  </si>
  <si>
    <t>case cube</t>
  </si>
  <si>
    <t>custom box cube</t>
  </si>
  <si>
    <t>location</t>
  </si>
  <si>
    <t>light</t>
  </si>
  <si>
    <t>pc l</t>
  </si>
  <si>
    <t>pc w</t>
  </si>
  <si>
    <t>pc d</t>
  </si>
  <si>
    <t>case l</t>
  </si>
  <si>
    <t>case w</t>
  </si>
  <si>
    <t>case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</si>
</sst>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3" xfId="0" applyBorder="1"/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89FCD-659D-454F-A783-8C5C102E755C}">
  <dimension ref="A1:R23"/>
  <sheetViews>
    <sheetView tabSelected="1" workbookViewId="0">
      <selection activeCell="F9" sqref="F9"/>
    </sheetView>
  </sheetViews>
  <sheetFormatPr defaultRowHeight="15" x14ac:dyDescent="0.25"/>
  <cols>
    <col min="1" max="1" width="23.85546875" bestFit="1" customWidth="1"/>
    <col min="2" max="2" width="9.28515625" bestFit="1" customWidth="1"/>
    <col min="3" max="3" width="8.140625" bestFit="1" customWidth="1"/>
    <col min="4" max="4" width="12.42578125" bestFit="1" customWidth="1"/>
    <col min="5" max="5" width="11.28515625" bestFit="1" customWidth="1"/>
    <col min="6" max="6" width="7.85546875" bestFit="1" customWidth="1"/>
    <col min="7" max="9" width="6.7109375" customWidth="1"/>
    <col min="10" max="10" width="9.85546875" bestFit="1" customWidth="1"/>
    <col min="11" max="13" width="6.7109375" customWidth="1"/>
    <col min="15" max="15" width="16" bestFit="1" customWidth="1"/>
    <col min="16" max="18" width="3" bestFit="1" customWidth="1"/>
  </cols>
  <sheetData>
    <row r="1" spans="1:18" x14ac:dyDescent="0.25">
      <c r="A1" t="s">
        <v>0</v>
      </c>
      <c r="B1" t="s">
        <v>3</v>
      </c>
      <c r="C1" t="s">
        <v>1</v>
      </c>
      <c r="D1" t="s">
        <v>2</v>
      </c>
      <c r="E1" t="s">
        <v>4</v>
      </c>
      <c r="F1" t="s">
        <v>31</v>
      </c>
      <c r="G1" t="s">
        <v>36</v>
      </c>
      <c r="H1" t="s">
        <v>37</v>
      </c>
      <c r="I1" t="s">
        <v>38</v>
      </c>
      <c r="J1" t="s">
        <v>32</v>
      </c>
      <c r="K1" t="s">
        <v>39</v>
      </c>
      <c r="L1" t="s">
        <v>40</v>
      </c>
      <c r="M1" t="s">
        <v>41</v>
      </c>
      <c r="O1" t="s">
        <v>33</v>
      </c>
    </row>
    <row r="2" spans="1:18" x14ac:dyDescent="0.25">
      <c r="A2" t="s">
        <v>5</v>
      </c>
      <c r="B2">
        <v>1</v>
      </c>
      <c r="C2">
        <v>8</v>
      </c>
      <c r="D2">
        <v>3</v>
      </c>
      <c r="E2">
        <f>D2*C2</f>
        <v>24</v>
      </c>
      <c r="F2">
        <f>I2*H2*G2</f>
        <v>700</v>
      </c>
      <c r="G2">
        <v>10</v>
      </c>
      <c r="H2">
        <v>10</v>
      </c>
      <c r="I2">
        <v>7</v>
      </c>
      <c r="J2">
        <f>M2*L2*K2</f>
        <v>7260</v>
      </c>
      <c r="K2">
        <v>22</v>
      </c>
      <c r="L2">
        <v>22</v>
      </c>
      <c r="M2">
        <v>15</v>
      </c>
      <c r="O2">
        <f>R2*Q2*P2</f>
        <v>96</v>
      </c>
      <c r="P2">
        <v>6</v>
      </c>
      <c r="Q2">
        <v>4</v>
      </c>
      <c r="R2">
        <v>4</v>
      </c>
    </row>
    <row r="3" spans="1:18" x14ac:dyDescent="0.25">
      <c r="A3" t="s">
        <v>6</v>
      </c>
      <c r="B3">
        <v>1</v>
      </c>
      <c r="C3">
        <v>4</v>
      </c>
      <c r="D3">
        <v>4.7</v>
      </c>
      <c r="E3">
        <f t="shared" ref="E3:E23" si="0">D3*C3</f>
        <v>18.8</v>
      </c>
      <c r="F3">
        <f t="shared" ref="F3:F23" si="1">I3*H3*G3</f>
        <v>1452</v>
      </c>
      <c r="G3">
        <v>12</v>
      </c>
      <c r="H3">
        <v>11</v>
      </c>
      <c r="I3">
        <v>11</v>
      </c>
      <c r="J3">
        <f t="shared" ref="J3:J23" si="2">M3*L3*K3</f>
        <v>7488</v>
      </c>
      <c r="K3">
        <v>13</v>
      </c>
      <c r="L3">
        <v>24</v>
      </c>
      <c r="M3">
        <v>24</v>
      </c>
      <c r="O3">
        <f t="shared" ref="O3:O18" si="3">R3*Q3*P3</f>
        <v>216</v>
      </c>
      <c r="P3">
        <v>9</v>
      </c>
      <c r="Q3">
        <v>6</v>
      </c>
      <c r="R3">
        <v>4</v>
      </c>
    </row>
    <row r="4" spans="1:18" x14ac:dyDescent="0.25">
      <c r="A4" t="s">
        <v>7</v>
      </c>
      <c r="B4">
        <v>1</v>
      </c>
      <c r="C4">
        <v>20</v>
      </c>
      <c r="D4">
        <v>1.4</v>
      </c>
      <c r="E4">
        <f t="shared" si="0"/>
        <v>28</v>
      </c>
      <c r="F4">
        <f t="shared" si="1"/>
        <v>178.125</v>
      </c>
      <c r="G4">
        <v>6</v>
      </c>
      <c r="H4">
        <v>6.25</v>
      </c>
      <c r="I4">
        <v>4.75</v>
      </c>
      <c r="J4">
        <f t="shared" si="2"/>
        <v>4225</v>
      </c>
      <c r="K4">
        <v>25</v>
      </c>
      <c r="L4">
        <v>13</v>
      </c>
      <c r="M4">
        <v>13</v>
      </c>
      <c r="O4">
        <f t="shared" si="3"/>
        <v>441</v>
      </c>
      <c r="P4">
        <v>9</v>
      </c>
      <c r="Q4">
        <v>7</v>
      </c>
      <c r="R4">
        <v>7</v>
      </c>
    </row>
    <row r="5" spans="1:18" x14ac:dyDescent="0.25">
      <c r="A5" t="s">
        <v>8</v>
      </c>
      <c r="B5">
        <v>1</v>
      </c>
      <c r="C5">
        <v>10</v>
      </c>
      <c r="D5">
        <v>1.4</v>
      </c>
      <c r="E5">
        <f t="shared" si="0"/>
        <v>14</v>
      </c>
      <c r="F5">
        <f t="shared" si="1"/>
        <v>130.921875</v>
      </c>
      <c r="G5">
        <v>4.75</v>
      </c>
      <c r="H5">
        <v>5.25</v>
      </c>
      <c r="I5">
        <v>5.25</v>
      </c>
      <c r="J5">
        <f t="shared" si="2"/>
        <v>1782</v>
      </c>
      <c r="K5">
        <v>27</v>
      </c>
      <c r="L5">
        <v>11</v>
      </c>
      <c r="M5">
        <v>6</v>
      </c>
      <c r="O5">
        <f t="shared" si="3"/>
        <v>567</v>
      </c>
      <c r="P5">
        <v>9</v>
      </c>
      <c r="Q5">
        <v>9</v>
      </c>
      <c r="R5">
        <v>7</v>
      </c>
    </row>
    <row r="6" spans="1:18" x14ac:dyDescent="0.25">
      <c r="A6" t="s">
        <v>10</v>
      </c>
      <c r="B6">
        <v>1</v>
      </c>
      <c r="C6">
        <v>18</v>
      </c>
      <c r="D6">
        <v>1.3</v>
      </c>
      <c r="E6">
        <f t="shared" si="0"/>
        <v>23.400000000000002</v>
      </c>
      <c r="F6">
        <f t="shared" si="1"/>
        <v>98.4375</v>
      </c>
      <c r="G6">
        <v>3.75</v>
      </c>
      <c r="H6">
        <v>3.75</v>
      </c>
      <c r="I6">
        <v>7</v>
      </c>
      <c r="J6">
        <f t="shared" si="2"/>
        <v>2744</v>
      </c>
      <c r="K6">
        <v>14</v>
      </c>
      <c r="L6">
        <v>14</v>
      </c>
      <c r="M6">
        <v>14</v>
      </c>
      <c r="O6">
        <f t="shared" si="3"/>
        <v>800</v>
      </c>
      <c r="P6">
        <v>10</v>
      </c>
      <c r="Q6">
        <v>10</v>
      </c>
      <c r="R6">
        <v>8</v>
      </c>
    </row>
    <row r="7" spans="1:18" x14ac:dyDescent="0.25">
      <c r="A7" t="s">
        <v>11</v>
      </c>
      <c r="B7">
        <v>1</v>
      </c>
      <c r="C7">
        <v>70</v>
      </c>
      <c r="D7">
        <v>0.45</v>
      </c>
      <c r="E7">
        <f t="shared" si="0"/>
        <v>31.5</v>
      </c>
      <c r="F7">
        <f t="shared" si="1"/>
        <v>98.4375</v>
      </c>
      <c r="G7">
        <v>3.75</v>
      </c>
      <c r="H7">
        <v>3.75</v>
      </c>
      <c r="I7">
        <v>7</v>
      </c>
      <c r="J7">
        <f t="shared" si="2"/>
        <v>3120</v>
      </c>
      <c r="K7">
        <v>24</v>
      </c>
      <c r="L7">
        <v>13</v>
      </c>
      <c r="M7">
        <v>10</v>
      </c>
      <c r="O7">
        <f t="shared" si="3"/>
        <v>819</v>
      </c>
      <c r="P7">
        <v>13</v>
      </c>
      <c r="Q7">
        <v>9</v>
      </c>
      <c r="R7">
        <v>7</v>
      </c>
    </row>
    <row r="8" spans="1:18" x14ac:dyDescent="0.25">
      <c r="A8" t="s">
        <v>12</v>
      </c>
      <c r="B8">
        <v>1</v>
      </c>
      <c r="C8">
        <v>50</v>
      </c>
      <c r="D8">
        <v>0.56999999999999995</v>
      </c>
      <c r="E8">
        <f t="shared" si="0"/>
        <v>28.499999999999996</v>
      </c>
      <c r="F8">
        <f t="shared" si="1"/>
        <v>89.84375</v>
      </c>
      <c r="G8">
        <v>1.25</v>
      </c>
      <c r="H8">
        <v>6.25</v>
      </c>
      <c r="I8">
        <v>11.5</v>
      </c>
      <c r="J8">
        <f t="shared" si="2"/>
        <v>2976</v>
      </c>
      <c r="K8">
        <v>31</v>
      </c>
      <c r="L8">
        <v>12</v>
      </c>
      <c r="M8">
        <v>8</v>
      </c>
      <c r="O8">
        <f t="shared" si="3"/>
        <v>1728</v>
      </c>
      <c r="P8">
        <v>12</v>
      </c>
      <c r="Q8">
        <v>12</v>
      </c>
      <c r="R8">
        <v>12</v>
      </c>
    </row>
    <row r="9" spans="1:18" x14ac:dyDescent="0.25">
      <c r="A9" t="s">
        <v>13</v>
      </c>
      <c r="B9">
        <v>1</v>
      </c>
      <c r="C9">
        <v>20</v>
      </c>
      <c r="D9">
        <v>0.75</v>
      </c>
      <c r="E9">
        <f t="shared" si="0"/>
        <v>15</v>
      </c>
      <c r="F9">
        <f t="shared" si="1"/>
        <v>73.5</v>
      </c>
      <c r="G9">
        <v>4</v>
      </c>
      <c r="H9">
        <v>5.25</v>
      </c>
      <c r="I9">
        <v>3.5</v>
      </c>
      <c r="J9">
        <f t="shared" si="2"/>
        <v>1782</v>
      </c>
      <c r="K9">
        <v>18</v>
      </c>
      <c r="L9">
        <v>11</v>
      </c>
      <c r="M9">
        <v>9</v>
      </c>
      <c r="O9">
        <f t="shared" si="3"/>
        <v>2160</v>
      </c>
      <c r="P9">
        <v>15</v>
      </c>
      <c r="Q9">
        <v>12</v>
      </c>
      <c r="R9">
        <v>12</v>
      </c>
    </row>
    <row r="10" spans="1:18" x14ac:dyDescent="0.25">
      <c r="A10" t="s">
        <v>14</v>
      </c>
      <c r="B10">
        <v>1</v>
      </c>
      <c r="C10">
        <v>20</v>
      </c>
      <c r="D10">
        <v>0.75</v>
      </c>
      <c r="E10">
        <f t="shared" si="0"/>
        <v>15</v>
      </c>
      <c r="F10">
        <f t="shared" si="1"/>
        <v>84</v>
      </c>
      <c r="G10">
        <v>4</v>
      </c>
      <c r="H10">
        <v>6</v>
      </c>
      <c r="I10">
        <v>3.5</v>
      </c>
      <c r="J10">
        <f t="shared" si="2"/>
        <v>2016</v>
      </c>
      <c r="K10">
        <v>21</v>
      </c>
      <c r="L10">
        <v>12</v>
      </c>
      <c r="M10">
        <v>8</v>
      </c>
      <c r="O10">
        <f t="shared" si="3"/>
        <v>2744</v>
      </c>
      <c r="P10">
        <v>14</v>
      </c>
      <c r="Q10">
        <v>14</v>
      </c>
      <c r="R10">
        <v>14</v>
      </c>
    </row>
    <row r="11" spans="1:18" x14ac:dyDescent="0.25">
      <c r="A11" t="s">
        <v>15</v>
      </c>
      <c r="B11">
        <v>1</v>
      </c>
      <c r="C11">
        <v>20</v>
      </c>
      <c r="D11">
        <v>1.3</v>
      </c>
      <c r="E11">
        <f t="shared" si="0"/>
        <v>26</v>
      </c>
      <c r="F11">
        <f t="shared" si="1"/>
        <v>115.78125</v>
      </c>
      <c r="G11">
        <v>3.25</v>
      </c>
      <c r="H11">
        <v>4.75</v>
      </c>
      <c r="I11">
        <v>7.5</v>
      </c>
      <c r="J11">
        <f t="shared" si="2"/>
        <v>2992</v>
      </c>
      <c r="K11">
        <v>17</v>
      </c>
      <c r="L11">
        <v>16</v>
      </c>
      <c r="M11">
        <v>11</v>
      </c>
      <c r="O11">
        <f t="shared" si="3"/>
        <v>1680</v>
      </c>
      <c r="P11">
        <v>20</v>
      </c>
      <c r="Q11">
        <v>14</v>
      </c>
      <c r="R11">
        <v>6</v>
      </c>
    </row>
    <row r="12" spans="1:18" x14ac:dyDescent="0.25">
      <c r="A12" t="s">
        <v>20</v>
      </c>
      <c r="B12">
        <v>1</v>
      </c>
      <c r="C12">
        <v>40</v>
      </c>
      <c r="D12">
        <v>0.65</v>
      </c>
      <c r="E12">
        <f t="shared" si="0"/>
        <v>26</v>
      </c>
      <c r="F12">
        <f t="shared" si="1"/>
        <v>174.65625</v>
      </c>
      <c r="G12">
        <v>2.25</v>
      </c>
      <c r="H12">
        <v>6.75</v>
      </c>
      <c r="I12">
        <v>11.5</v>
      </c>
      <c r="J12">
        <f t="shared" si="2"/>
        <v>2880</v>
      </c>
      <c r="K12">
        <v>24</v>
      </c>
      <c r="L12">
        <v>12</v>
      </c>
      <c r="M12">
        <v>10</v>
      </c>
      <c r="O12">
        <f t="shared" si="3"/>
        <v>1152</v>
      </c>
      <c r="P12">
        <v>24</v>
      </c>
      <c r="Q12">
        <v>12</v>
      </c>
      <c r="R12">
        <v>4</v>
      </c>
    </row>
    <row r="13" spans="1:18" x14ac:dyDescent="0.25">
      <c r="A13" t="s">
        <v>19</v>
      </c>
      <c r="B13">
        <v>1</v>
      </c>
      <c r="C13">
        <v>20</v>
      </c>
      <c r="D13">
        <v>1.8</v>
      </c>
      <c r="E13">
        <f t="shared" si="0"/>
        <v>36</v>
      </c>
      <c r="F13">
        <f t="shared" si="1"/>
        <v>112.75</v>
      </c>
      <c r="G13">
        <v>4</v>
      </c>
      <c r="H13">
        <v>2.75</v>
      </c>
      <c r="I13">
        <v>10.25</v>
      </c>
      <c r="J13">
        <f t="shared" si="2"/>
        <v>2646</v>
      </c>
      <c r="K13">
        <v>21</v>
      </c>
      <c r="L13">
        <v>14</v>
      </c>
      <c r="M13">
        <v>9</v>
      </c>
      <c r="O13">
        <f t="shared" si="3"/>
        <v>4320</v>
      </c>
      <c r="P13">
        <v>30</v>
      </c>
      <c r="Q13">
        <v>12</v>
      </c>
      <c r="R13">
        <v>12</v>
      </c>
    </row>
    <row r="14" spans="1:18" x14ac:dyDescent="0.25">
      <c r="A14" t="s">
        <v>21</v>
      </c>
      <c r="B14">
        <v>1</v>
      </c>
      <c r="C14">
        <v>50</v>
      </c>
      <c r="D14">
        <v>0.42</v>
      </c>
      <c r="E14">
        <f t="shared" si="0"/>
        <v>21</v>
      </c>
      <c r="F14">
        <f t="shared" si="1"/>
        <v>116.4375</v>
      </c>
      <c r="G14">
        <v>1.5</v>
      </c>
      <c r="H14">
        <v>6.75</v>
      </c>
      <c r="I14">
        <v>11.5</v>
      </c>
      <c r="J14">
        <f t="shared" si="2"/>
        <v>2880</v>
      </c>
      <c r="K14">
        <v>10</v>
      </c>
      <c r="L14">
        <v>12</v>
      </c>
      <c r="M14">
        <v>24</v>
      </c>
      <c r="O14">
        <f t="shared" si="3"/>
        <v>1728</v>
      </c>
      <c r="P14">
        <v>36</v>
      </c>
      <c r="Q14">
        <v>12</v>
      </c>
      <c r="R14">
        <v>4</v>
      </c>
    </row>
    <row r="15" spans="1:18" x14ac:dyDescent="0.25">
      <c r="A15" t="s">
        <v>22</v>
      </c>
      <c r="B15">
        <v>1</v>
      </c>
      <c r="C15">
        <v>200</v>
      </c>
      <c r="D15">
        <v>1.05</v>
      </c>
      <c r="E15">
        <f t="shared" si="0"/>
        <v>210</v>
      </c>
      <c r="F15">
        <f t="shared" si="1"/>
        <v>4.5</v>
      </c>
      <c r="G15">
        <v>2</v>
      </c>
      <c r="H15">
        <v>1.5</v>
      </c>
      <c r="I15">
        <v>1.5</v>
      </c>
      <c r="J15">
        <f t="shared" si="2"/>
        <v>2880</v>
      </c>
      <c r="K15">
        <v>10</v>
      </c>
      <c r="L15">
        <v>12</v>
      </c>
      <c r="M15">
        <v>24</v>
      </c>
      <c r="O15">
        <f t="shared" si="3"/>
        <v>4320</v>
      </c>
      <c r="P15">
        <v>36</v>
      </c>
      <c r="Q15">
        <v>12</v>
      </c>
      <c r="R15">
        <v>10</v>
      </c>
    </row>
    <row r="16" spans="1:18" x14ac:dyDescent="0.25">
      <c r="A16" t="s">
        <v>23</v>
      </c>
      <c r="B16">
        <v>1</v>
      </c>
      <c r="C16">
        <v>64</v>
      </c>
      <c r="D16">
        <v>0.5</v>
      </c>
      <c r="E16">
        <f t="shared" si="0"/>
        <v>32</v>
      </c>
      <c r="F16">
        <f t="shared" si="1"/>
        <v>77.625</v>
      </c>
      <c r="G16">
        <v>11.5</v>
      </c>
      <c r="H16">
        <v>6.75</v>
      </c>
      <c r="I16">
        <v>1</v>
      </c>
      <c r="J16">
        <f t="shared" si="2"/>
        <v>2880</v>
      </c>
      <c r="K16">
        <v>10</v>
      </c>
      <c r="L16">
        <v>12</v>
      </c>
      <c r="M16">
        <v>24</v>
      </c>
      <c r="O16">
        <f t="shared" si="3"/>
        <v>5184</v>
      </c>
      <c r="P16">
        <v>36</v>
      </c>
      <c r="Q16">
        <v>12</v>
      </c>
      <c r="R16">
        <v>12</v>
      </c>
    </row>
    <row r="17" spans="1:18" x14ac:dyDescent="0.25">
      <c r="A17" t="s">
        <v>24</v>
      </c>
      <c r="B17">
        <v>1</v>
      </c>
      <c r="C17">
        <v>256</v>
      </c>
      <c r="D17">
        <f>D16/4</f>
        <v>0.125</v>
      </c>
      <c r="E17">
        <f t="shared" si="0"/>
        <v>32</v>
      </c>
      <c r="F17">
        <f t="shared" si="1"/>
        <v>4.5</v>
      </c>
      <c r="G17">
        <v>2</v>
      </c>
      <c r="H17">
        <v>1.5</v>
      </c>
      <c r="I17">
        <v>1.5</v>
      </c>
      <c r="J17">
        <f t="shared" si="2"/>
        <v>2880</v>
      </c>
      <c r="K17">
        <v>10</v>
      </c>
      <c r="L17">
        <v>12</v>
      </c>
      <c r="M17">
        <v>24</v>
      </c>
      <c r="O17">
        <f t="shared" si="3"/>
        <v>2304</v>
      </c>
      <c r="P17">
        <v>48</v>
      </c>
      <c r="Q17">
        <v>12</v>
      </c>
      <c r="R17">
        <v>4</v>
      </c>
    </row>
    <row r="18" spans="1:18" x14ac:dyDescent="0.25">
      <c r="A18" t="s">
        <v>25</v>
      </c>
      <c r="B18">
        <v>1</v>
      </c>
      <c r="C18">
        <v>40</v>
      </c>
      <c r="D18">
        <v>0.8</v>
      </c>
      <c r="E18">
        <f t="shared" si="0"/>
        <v>32</v>
      </c>
      <c r="F18">
        <f t="shared" si="1"/>
        <v>54</v>
      </c>
      <c r="G18">
        <v>1</v>
      </c>
      <c r="H18">
        <v>6</v>
      </c>
      <c r="I18">
        <v>9</v>
      </c>
      <c r="J18">
        <f t="shared" si="2"/>
        <v>1729</v>
      </c>
      <c r="K18">
        <v>19</v>
      </c>
      <c r="L18">
        <v>13</v>
      </c>
      <c r="M18">
        <v>7</v>
      </c>
      <c r="O18">
        <f t="shared" si="3"/>
        <v>6912</v>
      </c>
      <c r="P18">
        <v>48</v>
      </c>
      <c r="Q18">
        <v>12</v>
      </c>
      <c r="R18">
        <v>12</v>
      </c>
    </row>
    <row r="19" spans="1:18" x14ac:dyDescent="0.25">
      <c r="A19" t="s">
        <v>26</v>
      </c>
      <c r="B19">
        <v>1</v>
      </c>
      <c r="C19">
        <v>24</v>
      </c>
      <c r="D19">
        <v>1.1000000000000001</v>
      </c>
      <c r="E19">
        <f t="shared" si="0"/>
        <v>26.400000000000002</v>
      </c>
      <c r="F19">
        <f t="shared" si="1"/>
        <v>174.28125</v>
      </c>
      <c r="G19">
        <v>3.25</v>
      </c>
      <c r="H19">
        <v>6.5</v>
      </c>
      <c r="I19">
        <v>8.25</v>
      </c>
      <c r="J19">
        <f t="shared" si="2"/>
        <v>4760</v>
      </c>
      <c r="K19">
        <v>20</v>
      </c>
      <c r="L19">
        <v>17</v>
      </c>
      <c r="M19">
        <v>14</v>
      </c>
    </row>
    <row r="20" spans="1:18" x14ac:dyDescent="0.25">
      <c r="A20" t="s">
        <v>27</v>
      </c>
      <c r="B20">
        <v>1</v>
      </c>
      <c r="C20">
        <v>20</v>
      </c>
      <c r="D20">
        <v>1.5</v>
      </c>
      <c r="E20">
        <f t="shared" si="0"/>
        <v>30</v>
      </c>
      <c r="F20">
        <f t="shared" si="1"/>
        <v>71.296875</v>
      </c>
      <c r="G20">
        <v>3.25</v>
      </c>
      <c r="H20">
        <v>3.25</v>
      </c>
      <c r="I20">
        <v>6.75</v>
      </c>
      <c r="J20">
        <f t="shared" si="2"/>
        <v>1664</v>
      </c>
      <c r="K20">
        <v>16</v>
      </c>
      <c r="L20">
        <v>13</v>
      </c>
      <c r="M20">
        <v>8</v>
      </c>
    </row>
    <row r="21" spans="1:18" x14ac:dyDescent="0.25">
      <c r="A21" t="s">
        <v>28</v>
      </c>
      <c r="B21">
        <v>1</v>
      </c>
      <c r="C21">
        <v>20</v>
      </c>
      <c r="D21">
        <v>2.1</v>
      </c>
      <c r="E21">
        <f t="shared" si="0"/>
        <v>42</v>
      </c>
      <c r="F21">
        <f t="shared" si="1"/>
        <v>260.3125</v>
      </c>
      <c r="G21">
        <v>4.25</v>
      </c>
      <c r="H21">
        <v>7</v>
      </c>
      <c r="I21">
        <v>8.75</v>
      </c>
      <c r="J21">
        <f t="shared" si="2"/>
        <v>5940</v>
      </c>
      <c r="K21">
        <v>22</v>
      </c>
      <c r="L21">
        <v>18</v>
      </c>
      <c r="M21">
        <v>15</v>
      </c>
    </row>
    <row r="22" spans="1:18" x14ac:dyDescent="0.25">
      <c r="A22" t="s">
        <v>29</v>
      </c>
      <c r="B22">
        <v>1</v>
      </c>
      <c r="C22">
        <v>20</v>
      </c>
      <c r="D22">
        <v>2.1</v>
      </c>
      <c r="E22">
        <f t="shared" si="0"/>
        <v>42</v>
      </c>
      <c r="F22">
        <f t="shared" si="1"/>
        <v>260.3125</v>
      </c>
      <c r="G22">
        <v>4.25</v>
      </c>
      <c r="H22">
        <v>7</v>
      </c>
      <c r="I22">
        <v>8.75</v>
      </c>
      <c r="J22">
        <f t="shared" si="2"/>
        <v>5940</v>
      </c>
      <c r="K22">
        <v>22</v>
      </c>
      <c r="L22">
        <v>18</v>
      </c>
      <c r="M22">
        <v>15</v>
      </c>
    </row>
    <row r="23" spans="1:18" x14ac:dyDescent="0.25">
      <c r="A23" t="s">
        <v>30</v>
      </c>
      <c r="B23">
        <v>1</v>
      </c>
      <c r="C23">
        <v>20</v>
      </c>
      <c r="D23">
        <v>2.1</v>
      </c>
      <c r="E23">
        <f t="shared" si="0"/>
        <v>42</v>
      </c>
      <c r="F23">
        <f t="shared" si="1"/>
        <v>260.3125</v>
      </c>
      <c r="G23">
        <v>4.25</v>
      </c>
      <c r="H23">
        <v>7</v>
      </c>
      <c r="I23">
        <v>8.75</v>
      </c>
      <c r="J23">
        <f t="shared" si="2"/>
        <v>5940</v>
      </c>
      <c r="K23">
        <v>22</v>
      </c>
      <c r="L23">
        <v>18</v>
      </c>
      <c r="M23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95770-9195-469B-B4E1-D8C2E249D5EE}">
  <sheetPr>
    <pageSetUpPr fitToPage="1"/>
  </sheetPr>
  <dimension ref="A1:E24"/>
  <sheetViews>
    <sheetView topLeftCell="A13" workbookViewId="0">
      <selection activeCell="D24" sqref="D24"/>
    </sheetView>
  </sheetViews>
  <sheetFormatPr defaultColWidth="15.28515625" defaultRowHeight="30" customHeight="1" x14ac:dyDescent="0.25"/>
  <cols>
    <col min="1" max="1" width="23.85546875" bestFit="1" customWidth="1"/>
    <col min="2" max="2" width="23.85546875" customWidth="1"/>
  </cols>
  <sheetData>
    <row r="1" spans="1:5" ht="30" customHeight="1" thickBot="1" x14ac:dyDescent="0.3">
      <c r="A1" s="3" t="s">
        <v>35</v>
      </c>
      <c r="B1" s="3" t="s">
        <v>34</v>
      </c>
      <c r="C1" s="3" t="s">
        <v>16</v>
      </c>
      <c r="D1" s="3" t="s">
        <v>17</v>
      </c>
      <c r="E1" s="3" t="s">
        <v>18</v>
      </c>
    </row>
    <row r="2" spans="1:5" ht="30" customHeight="1" x14ac:dyDescent="0.25">
      <c r="A2" s="2" t="s">
        <v>5</v>
      </c>
      <c r="B2" s="1"/>
      <c r="C2" s="1"/>
      <c r="D2" s="1"/>
      <c r="E2" s="1"/>
    </row>
    <row r="3" spans="1:5" ht="30" customHeight="1" x14ac:dyDescent="0.25">
      <c r="A3" s="1" t="s">
        <v>6</v>
      </c>
      <c r="B3" s="1"/>
      <c r="C3" s="1"/>
      <c r="D3" s="1"/>
      <c r="E3" s="1"/>
    </row>
    <row r="4" spans="1:5" ht="30" customHeight="1" x14ac:dyDescent="0.25">
      <c r="A4" s="1" t="s">
        <v>7</v>
      </c>
      <c r="B4" s="1"/>
      <c r="C4" s="1"/>
      <c r="D4" s="1"/>
      <c r="E4" s="1"/>
    </row>
    <row r="5" spans="1:5" ht="30" customHeight="1" x14ac:dyDescent="0.25">
      <c r="A5" s="1" t="s">
        <v>8</v>
      </c>
      <c r="B5" s="1"/>
      <c r="C5" s="1"/>
      <c r="D5" s="1"/>
      <c r="E5" s="1"/>
    </row>
    <row r="6" spans="1:5" ht="30" customHeight="1" x14ac:dyDescent="0.25">
      <c r="A6" s="1" t="s">
        <v>9</v>
      </c>
      <c r="B6" s="1"/>
      <c r="C6" s="1"/>
      <c r="D6" s="1"/>
      <c r="E6" s="1"/>
    </row>
    <row r="7" spans="1:5" ht="30" customHeight="1" x14ac:dyDescent="0.25">
      <c r="A7" s="1" t="s">
        <v>10</v>
      </c>
      <c r="B7" s="1"/>
      <c r="C7" s="1"/>
      <c r="D7" s="1"/>
      <c r="E7" s="1"/>
    </row>
    <row r="8" spans="1:5" ht="30" customHeight="1" x14ac:dyDescent="0.25">
      <c r="A8" s="1" t="s">
        <v>11</v>
      </c>
      <c r="B8" s="1"/>
      <c r="C8" s="1"/>
      <c r="D8" s="1"/>
      <c r="E8" s="1"/>
    </row>
    <row r="9" spans="1:5" ht="30" customHeight="1" x14ac:dyDescent="0.25">
      <c r="A9" s="1" t="s">
        <v>12</v>
      </c>
      <c r="B9" s="1"/>
      <c r="C9" s="1"/>
      <c r="D9" s="1"/>
      <c r="E9" s="1"/>
    </row>
    <row r="10" spans="1:5" ht="30" customHeight="1" x14ac:dyDescent="0.25">
      <c r="A10" s="1" t="s">
        <v>13</v>
      </c>
      <c r="B10" s="1"/>
      <c r="C10" s="1"/>
      <c r="D10" s="1"/>
      <c r="E10" s="1"/>
    </row>
    <row r="11" spans="1:5" ht="30" customHeight="1" x14ac:dyDescent="0.25">
      <c r="A11" s="1" t="s">
        <v>14</v>
      </c>
      <c r="B11" s="1"/>
      <c r="C11" s="1"/>
      <c r="D11" s="1"/>
      <c r="E11" s="1"/>
    </row>
    <row r="12" spans="1:5" ht="30" customHeight="1" x14ac:dyDescent="0.25">
      <c r="A12" s="1" t="s">
        <v>15</v>
      </c>
      <c r="B12" s="1"/>
      <c r="C12" s="1"/>
      <c r="D12" s="1"/>
      <c r="E12" s="1"/>
    </row>
    <row r="13" spans="1:5" ht="30" customHeight="1" x14ac:dyDescent="0.25">
      <c r="A13" s="1" t="s">
        <v>20</v>
      </c>
      <c r="B13" s="1"/>
      <c r="C13" s="1"/>
      <c r="D13" s="1"/>
      <c r="E13" s="1"/>
    </row>
    <row r="14" spans="1:5" ht="30" customHeight="1" x14ac:dyDescent="0.25">
      <c r="A14" s="1" t="s">
        <v>19</v>
      </c>
      <c r="B14" s="1"/>
      <c r="C14" s="1"/>
      <c r="D14" s="1"/>
      <c r="E14" s="1"/>
    </row>
    <row r="15" spans="1:5" ht="30" customHeight="1" x14ac:dyDescent="0.25">
      <c r="A15" s="1" t="s">
        <v>21</v>
      </c>
      <c r="B15" s="1"/>
      <c r="C15" s="1"/>
      <c r="D15" s="1"/>
      <c r="E15" s="1"/>
    </row>
    <row r="16" spans="1:5" ht="30" customHeight="1" x14ac:dyDescent="0.25">
      <c r="A16" s="1" t="s">
        <v>22</v>
      </c>
      <c r="B16" s="1"/>
      <c r="C16" s="1"/>
      <c r="D16" s="1"/>
      <c r="E16" s="1"/>
    </row>
    <row r="17" spans="1:5" ht="30" customHeight="1" x14ac:dyDescent="0.25">
      <c r="A17" s="1" t="s">
        <v>23</v>
      </c>
      <c r="B17" s="1"/>
      <c r="C17" s="1"/>
      <c r="D17" s="1"/>
      <c r="E17" s="1"/>
    </row>
    <row r="18" spans="1:5" ht="30" customHeight="1" x14ac:dyDescent="0.25">
      <c r="A18" s="1" t="s">
        <v>24</v>
      </c>
      <c r="B18" s="1"/>
      <c r="C18" s="1"/>
      <c r="D18" s="1"/>
      <c r="E18" s="1"/>
    </row>
    <row r="19" spans="1:5" ht="30" customHeight="1" x14ac:dyDescent="0.25">
      <c r="A19" s="1" t="s">
        <v>25</v>
      </c>
      <c r="B19" s="1"/>
      <c r="C19" s="1"/>
      <c r="D19" s="1"/>
      <c r="E19" s="1"/>
    </row>
    <row r="20" spans="1:5" ht="30" customHeight="1" x14ac:dyDescent="0.25">
      <c r="A20" s="1" t="s">
        <v>26</v>
      </c>
      <c r="B20" s="1"/>
      <c r="C20" s="1"/>
      <c r="D20" s="1"/>
      <c r="E20" s="1"/>
    </row>
    <row r="21" spans="1:5" ht="30" customHeight="1" x14ac:dyDescent="0.25">
      <c r="A21" s="1" t="s">
        <v>27</v>
      </c>
      <c r="B21" s="1"/>
      <c r="C21" s="1"/>
      <c r="D21" s="1"/>
      <c r="E21" s="1"/>
    </row>
    <row r="22" spans="1:5" ht="30" customHeight="1" x14ac:dyDescent="0.25">
      <c r="A22" s="1" t="s">
        <v>28</v>
      </c>
      <c r="B22" s="1"/>
      <c r="C22" s="1"/>
      <c r="D22" s="1"/>
      <c r="E22" s="1"/>
    </row>
    <row r="23" spans="1:5" ht="30" customHeight="1" x14ac:dyDescent="0.25">
      <c r="A23" s="1" t="s">
        <v>29</v>
      </c>
      <c r="B23" s="1"/>
      <c r="C23" s="1"/>
      <c r="D23" s="1"/>
      <c r="E23" s="1"/>
    </row>
    <row r="24" spans="1:5" ht="30" customHeight="1" x14ac:dyDescent="0.25">
      <c r="A24" s="1" t="s">
        <v>30</v>
      </c>
      <c r="B24" s="1"/>
      <c r="C24" s="1"/>
      <c r="D24" s="1"/>
      <c r="E24" s="1"/>
    </row>
  </sheetData>
  <pageMargins left="0.7" right="0.7" top="0.75" bottom="0.75" header="0.3" footer="0.3"/>
  <pageSetup scale="9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Wilson</dc:creator>
  <cp:lastModifiedBy>Matthew Wilson</cp:lastModifiedBy>
  <cp:lastPrinted>2026-03-27T18:53:22Z</cp:lastPrinted>
  <dcterms:created xsi:type="dcterms:W3CDTF">2026-03-27T17:36:56Z</dcterms:created>
  <dcterms:modified xsi:type="dcterms:W3CDTF">2026-03-27T20:47:50Z</dcterms:modified>
</cp:coreProperties>
</file>